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C97BAA-B36F-41E3-8C0B-64C52352446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hart1" sheetId="14" r:id="rId1"/>
    <sheet name="Dashboard" sheetId="1" r:id="rId2"/>
    <sheet name="January" sheetId="2" r:id="rId3"/>
    <sheet name="February" sheetId="3" r:id="rId4"/>
    <sheet name="March" sheetId="4" r:id="rId5"/>
    <sheet name="April" sheetId="5" r:id="rId6"/>
    <sheet name="May" sheetId="6" r:id="rId7"/>
    <sheet name="June" sheetId="7" r:id="rId8"/>
    <sheet name="July" sheetId="8" r:id="rId9"/>
    <sheet name="August" sheetId="9" r:id="rId10"/>
    <sheet name="September" sheetId="10" r:id="rId11"/>
    <sheet name="October" sheetId="11" r:id="rId12"/>
    <sheet name="November" sheetId="12" r:id="rId13"/>
    <sheet name="December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23" i="1" l="1"/>
  <c r="B24" i="1" s="1"/>
  <c r="J6" i="1"/>
  <c r="A6" i="1"/>
  <c r="D6" i="1"/>
  <c r="G6" i="1"/>
</calcChain>
</file>

<file path=xl/sharedStrings.xml><?xml version="1.0" encoding="utf-8"?>
<sst xmlns="http://schemas.openxmlformats.org/spreadsheetml/2006/main" count="621" uniqueCount="82">
  <si>
    <t>Overall Score 🎓</t>
  </si>
  <si>
    <t>Best Month 🏆</t>
  </si>
  <si>
    <t>Worst Month ⚠️</t>
  </si>
  <si>
    <t>Active Months 📅</t>
  </si>
  <si>
    <t>Month</t>
  </si>
  <si>
    <t>Completion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</si>
  <si>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</si>
  <si>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</si>
  <si>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</si>
  <si>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</si>
  <si>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</si>
  <si>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</si>
  <si>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</si>
  <si>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</si>
  <si>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</si>
  <si>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</si>
  <si>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</si>
  <si>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</si>
  <si>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</si>
  <si>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Remaining</t>
  </si>
  <si>
    <t>January HABIT TRACKER</t>
  </si>
  <si>
    <t>Week 1</t>
  </si>
  <si>
    <t>Week 2</t>
  </si>
  <si>
    <t>Week 3</t>
  </si>
  <si>
    <t>Week 4</t>
  </si>
  <si>
    <t>Week 5</t>
  </si>
  <si>
    <t>Habit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</si>
  <si>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</si>
  <si>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</si>
  <si>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</si>
  <si>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</si>
  <si>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</si>
  <si>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</si>
  <si>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</si>
  <si>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</si>
  <si>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</si>
  <si>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</si>
  <si>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</si>
  <si>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</si>
  <si>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</si>
  <si>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</si>
  <si>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</si>
  <si>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</si>
  <si>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</si>
  <si>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</si>
  <si>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</si>
  <si>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</si>
  <si>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</si>
  <si>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</si>
  <si>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</si>
  <si>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</si>
  <si>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</si>
  <si>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</si>
  <si>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</si>
  <si>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</si>
  <si>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</si>
  <si>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</si>
  <si>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</si>
  <si>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Wake up at 6AM ⏰</t>
  </si>
  <si>
    <t>No Snoozing 🚫</t>
  </si>
  <si>
    <t>Drink 3L Water 💧</t>
  </si>
  <si>
    <t>Workout 💪</t>
  </si>
  <si>
    <t>Stretching 🧘</t>
  </si>
  <si>
    <t>Read 20 Minutes 📚</t>
  </si>
  <si>
    <t>Meditation 🧠</t>
  </si>
  <si>
    <t>Deep Study 1 Hour 🎓</t>
  </si>
  <si>
    <t>Breath Work 🌬️</t>
  </si>
  <si>
    <t>Limit Social Media 📵</t>
  </si>
  <si>
    <t>Plan Tomorrow 📝</t>
  </si>
  <si>
    <t>Sleep 7–8 Hours 😴</t>
  </si>
  <si>
    <t>February HABIT TRACKER</t>
  </si>
  <si>
    <t>March HABIT TRACKER</t>
  </si>
  <si>
    <t>April HABIT TRACKER</t>
  </si>
  <si>
    <t>May HABIT TRACKER</t>
  </si>
  <si>
    <t>June HABIT TRACKER</t>
  </si>
  <si>
    <t>July HABIT TRACKER</t>
  </si>
  <si>
    <t>August HABIT TRACKER</t>
  </si>
  <si>
    <t>September HABIT TRACKER</t>
  </si>
  <si>
    <t>October HABIT TRACKER</t>
  </si>
  <si>
    <t>November HABIT TRACKER</t>
  </si>
  <si>
    <t>December HABIT TRACKER</t>
  </si>
  <si>
    <t xml:space="preserve">🌈 HABIT TRACKER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</si>
</sst>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  <font>
      <b/>
      <sz val="11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20617"/>
      </patternFill>
    </fill>
    <fill>
      <patternFill patternType="solid">
        <fgColor rgb="FFA855F7"/>
      </patternFill>
    </fill>
    <fill>
      <patternFill patternType="solid">
        <fgColor rgb="FFDCFCE7"/>
      </patternFill>
    </fill>
    <fill>
      <patternFill patternType="solid">
        <fgColor rgb="FF22C55E"/>
      </patternFill>
    </fill>
    <fill>
      <patternFill patternType="solid">
        <fgColor rgb="FFF97316"/>
      </patternFill>
    </fill>
    <fill>
      <patternFill patternType="solid">
        <fgColor rgb="FF3B82F6"/>
      </patternFill>
    </fill>
    <fill>
      <patternFill patternType="solid">
        <fgColor rgb="FFE0F2FE"/>
      </patternFill>
    </fill>
    <fill>
      <patternFill patternType="solid">
        <fgColor rgb="FF86EFAC"/>
      </patternFill>
    </fill>
    <fill>
      <patternFill patternType="solid">
        <fgColor rgb="FF93C5FD"/>
      </patternFill>
    </fill>
    <fill>
      <patternFill patternType="solid">
        <fgColor rgb="FFFDBA74"/>
      </patternFill>
    </fill>
    <fill>
      <patternFill patternType="solid">
        <fgColor rgb="FFF9A8D4"/>
      </patternFill>
    </fill>
    <fill>
      <patternFill patternType="solid">
        <fgColor rgb="FFC4B5FD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2" fillId="2" borderId="0" xfId="0" applyFont="1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9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5" fillId="18" borderId="0" xfId="0" applyFont="1" applyFill="1"/>
    <xf numFmtId="0" fontId="5" fillId="17" borderId="0" xfId="0" applyFont="1" applyFill="1"/>
    <xf numFmtId="0" fontId="5" fillId="16" borderId="0" xfId="0" applyFont="1" applyFill="1"/>
    <xf numFmtId="0" fontId="5" fillId="15" borderId="0" xfId="0" applyFont="1" applyFill="1"/>
    <xf numFmtId="0" fontId="5" fillId="14" borderId="0" xfId="0" applyFont="1" applyFill="1"/>
    <xf numFmtId="0" fontId="2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6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8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9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0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1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26" borderId="0" xfId="0" applyFill="1"/>
    <xf numFmtId="0" fontId="0" fillId="27" borderId="0" xfId="0" applyFill="1"/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FF"/>
      <color rgb="FF3399FF"/>
      <color rgb="FFFFFF99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Dashboard!$B$1:$B$21</c:f>
              <c:numCache>
                <c:formatCode>General</c:formatCode>
                <c:ptCount val="21"/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9-4086-B1FE-E20DD95649E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Dashboard!$C$1:$C$21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FCA9-4086-B1FE-E20DD95649E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Dashboard!$D$1:$D$21</c:f>
              <c:numCache>
                <c:formatCode>General</c:formatCode>
                <c:ptCount val="21"/>
                <c:pt idx="2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9-4086-B1FE-E20DD95649EA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Dashboard!$E$1:$E$21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3-FCA9-4086-B1FE-E20DD95649EA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Dashboard!$F$1:$F$21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4-FCA9-4086-B1FE-E20DD95649EA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Dashboard!$G$1:$G$21</c:f>
              <c:numCache>
                <c:formatCode>General</c:formatCode>
                <c:ptCount val="21"/>
                <c:pt idx="2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A9-4086-B1FE-E20DD95649EA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Dashboard!$H$1:$H$21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6-FCA9-4086-B1FE-E20DD95649EA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Dashboard!$I$1:$I$21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7-FCA9-4086-B1FE-E20DD95649EA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Dashboard!$J$1:$J$21</c:f>
              <c:numCache>
                <c:formatCode>General</c:formatCode>
                <c:ptCount val="21"/>
                <c:pt idx="2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A9-4086-B1FE-E20DD95649EA}"/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Dashboard!$K$1:$K$21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9-FCA9-4086-B1FE-E20DD95649EA}"/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Dashboard!$L$1:$L$21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A-FCA9-4086-B1FE-E20DD95649EA}"/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Dashboard!$M$1:$M$21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B-FCA9-4086-B1FE-E20DD95649EA}"/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Dashboard!$N$1:$N$21</c:f>
            </c:numRef>
          </c:val>
          <c:extLst>
            <c:ext xmlns:c16="http://schemas.microsoft.com/office/drawing/2014/chart" uri="{C3380CC4-5D6E-409C-BE32-E72D297353CC}">
              <c16:uniqueId val="{0000000C-FCA9-4086-B1FE-E20DD95649EA}"/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Dashboard!$O$1:$O$21</c:f>
            </c:numRef>
          </c:val>
          <c:extLst>
            <c:ext xmlns:c16="http://schemas.microsoft.com/office/drawing/2014/chart" uri="{C3380CC4-5D6E-409C-BE32-E72D297353CC}">
              <c16:uniqueId val="{0000000D-FCA9-4086-B1FE-E20DD95649EA}"/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Dashboard!$A$1:$A$21</c:f>
              <c:strCache>
                <c:ptCount val="21"/>
                <c:pt idx="0">
                  <c:v>🌈 HABIT TRACKER </c:v>
                </c:pt>
                <c:pt idx="2">
                  <c:v>Overall Score 🎓</c:v>
                </c:pt>
                <c:pt idx="5">
                  <c:v>0</c:v>
                </c:pt>
                <c:pt idx="8">
                  <c:v>Month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  <c:pt idx="14">
                  <c:v>June</c:v>
                </c:pt>
                <c:pt idx="15">
                  <c:v>July</c:v>
                </c:pt>
                <c:pt idx="16">
                  <c:v>August</c:v>
                </c:pt>
                <c:pt idx="17">
                  <c:v>September</c:v>
                </c:pt>
                <c:pt idx="18">
                  <c:v>October</c:v>
                </c:pt>
                <c:pt idx="19">
                  <c:v>November</c:v>
                </c:pt>
                <c:pt idx="20">
                  <c:v>December</c:v>
                </c:pt>
              </c:strCache>
            </c:strRef>
          </c:cat>
          <c:val>
            <c:numRef>
              <c:f>Dashboard!$P$1:$P$21</c:f>
            </c:numRef>
          </c:val>
          <c:extLst>
            <c:ext xmlns:c16="http://schemas.microsoft.com/office/drawing/2014/chart" uri="{C3380CC4-5D6E-409C-BE32-E72D297353CC}">
              <c16:uniqueId val="{0000000E-FCA9-4086-B1FE-E20DD9564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5881856"/>
        <c:axId val="1415882816"/>
      </c:barChart>
      <c:catAx>
        <c:axId val="141588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82816"/>
        <c:crosses val="autoZero"/>
        <c:auto val="1"/>
        <c:lblAlgn val="ctr"/>
        <c:lblOffset val="100"/>
        <c:noMultiLvlLbl val="0"/>
      </c:catAx>
      <c:valAx>
        <c:axId val="14158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8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📊 Monthly Consistency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45760890283748E-2"/>
          <c:y val="0.22142960675867163"/>
          <c:w val="0.91451895441884667"/>
          <c:h val="0.711869423708636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Completion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9-42C5-BA8E-340DB7754BAE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9-42C5-BA8E-340DB7754BAE}"/>
              </c:ext>
            </c:extLst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79-42C5-BA8E-340DB7754BAE}"/>
              </c:ext>
            </c:extLst>
          </c:dPt>
          <c:dPt>
            <c:idx val="3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79-42C5-BA8E-340DB7754BAE}"/>
              </c:ext>
            </c:extLst>
          </c:dPt>
          <c:dPt>
            <c:idx val="4"/>
            <c:invertIfNegative val="1"/>
            <c:bubble3D val="0"/>
            <c:spPr>
              <a:pattFill prst="ltUpDiag">
                <a:fgClr>
                  <a:schemeClr val="accent5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79-42C5-BA8E-340DB7754BAE}"/>
              </c:ext>
            </c:extLst>
          </c:dPt>
          <c:dPt>
            <c:idx val="5"/>
            <c:invertIfNegative val="1"/>
            <c:bubble3D val="0"/>
            <c:spPr>
              <a:pattFill prst="ltUpDiag">
                <a:fgClr>
                  <a:schemeClr val="accent6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79-42C5-BA8E-340DB7754BAE}"/>
              </c:ext>
            </c:extLst>
          </c:dPt>
          <c:dPt>
            <c:idx val="6"/>
            <c:invertIfNegative val="1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D79-42C5-BA8E-340DB7754BAE}"/>
              </c:ext>
            </c:extLst>
          </c:dPt>
          <c:dPt>
            <c:idx val="7"/>
            <c:invertIfNegative val="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D79-42C5-BA8E-340DB7754BAE}"/>
              </c:ext>
            </c:extLst>
          </c:dPt>
          <c:dPt>
            <c:idx val="8"/>
            <c:invertIfNegative val="1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D79-42C5-BA8E-340DB7754BAE}"/>
              </c:ext>
            </c:extLst>
          </c:dPt>
          <c:dPt>
            <c:idx val="9"/>
            <c:invertIfNegative val="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D79-42C5-BA8E-340DB7754BAE}"/>
              </c:ext>
            </c:extLst>
          </c:dPt>
          <c:dPt>
            <c:idx val="10"/>
            <c:invertIfNegative val="1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D79-42C5-BA8E-340DB7754BAE}"/>
              </c:ext>
            </c:extLst>
          </c:dPt>
          <c:dPt>
            <c:idx val="11"/>
            <c:invertIfNegative val="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D79-42C5-BA8E-340DB7754BAE}"/>
              </c:ext>
            </c:extLst>
          </c:dPt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9-4A1B-B3F5-7F8761C47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ACHIEVEMENT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Dashboard!$C$1:$C$3</c:f>
              <c:strCache>
                <c:ptCount val="3"/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Dashboard!$C$4:$C$21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1-44B6-B4CB-87CAF7986E87}"/>
            </c:ext>
          </c:extLst>
        </c:ser>
        <c:ser>
          <c:idx val="1"/>
          <c:order val="1"/>
          <c:tx>
            <c:strRef>
              <c:f>Dashboard!$D$1:$D$3</c:f>
              <c:strCache>
                <c:ptCount val="3"/>
                <c:pt idx="2">
                  <c:v>Best Month 🏆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Dashboard!$D$4:$D$21</c:f>
              <c:numCache>
                <c:formatCode>General</c:formatCode>
                <c:ptCount val="18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71-44B6-B4CB-87CAF7986E87}"/>
            </c:ext>
          </c:extLst>
        </c:ser>
        <c:ser>
          <c:idx val="2"/>
          <c:order val="2"/>
          <c:tx>
            <c:strRef>
              <c:f>Dashboard!$E$1:$E$3</c:f>
              <c:strCache>
                <c:ptCount val="3"/>
                <c:pt idx="2">
                  <c:v>Best Month 🏆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Dashboard!$E$4:$E$21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71-44B6-B4CB-87CAF7986E87}"/>
            </c:ext>
          </c:extLst>
        </c:ser>
        <c:ser>
          <c:idx val="3"/>
          <c:order val="3"/>
          <c:tx>
            <c:strRef>
              <c:f>Dashboard!$F$1:$F$3</c:f>
              <c:strCache>
                <c:ptCount val="3"/>
                <c:pt idx="2">
                  <c:v>Best Month 🏆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Dashboard!$F$4:$F$21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71-44B6-B4CB-87CAF7986E87}"/>
            </c:ext>
          </c:extLst>
        </c:ser>
        <c:ser>
          <c:idx val="4"/>
          <c:order val="4"/>
          <c:tx>
            <c:strRef>
              <c:f>Dashboard!$G$1:$G$3</c:f>
              <c:strCache>
                <c:ptCount val="3"/>
                <c:pt idx="2">
                  <c:v>Worst Month ⚠️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Dashboard!$G$4:$G$21</c:f>
              <c:numCache>
                <c:formatCode>General</c:formatCode>
                <c:ptCount val="18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71-44B6-B4CB-87CAF7986E87}"/>
            </c:ext>
          </c:extLst>
        </c:ser>
        <c:ser>
          <c:idx val="5"/>
          <c:order val="5"/>
          <c:tx>
            <c:strRef>
              <c:f>Dashboard!$H$1:$H$3</c:f>
              <c:strCache>
                <c:ptCount val="3"/>
                <c:pt idx="2">
                  <c:v>Worst Month ⚠️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Dashboard!$H$4:$H$21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71-44B6-B4CB-87CAF7986E87}"/>
            </c:ext>
          </c:extLst>
        </c:ser>
        <c:ser>
          <c:idx val="6"/>
          <c:order val="6"/>
          <c:tx>
            <c:strRef>
              <c:f>Dashboard!$I$1:$I$3</c:f>
              <c:strCache>
                <c:ptCount val="3"/>
                <c:pt idx="2">
                  <c:v>Worst Month ⚠️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Dashboard!$I$4:$I$21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71-44B6-B4CB-87CAF7986E87}"/>
            </c:ext>
          </c:extLst>
        </c:ser>
        <c:ser>
          <c:idx val="7"/>
          <c:order val="7"/>
          <c:tx>
            <c:strRef>
              <c:f>Dashboard!$J$1:$J$3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Dashboard!$J$4:$J$21</c:f>
              <c:numCache>
                <c:formatCode>General</c:formatCode>
                <c:ptCount val="18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71-44B6-B4CB-87CAF7986E87}"/>
            </c:ext>
          </c:extLst>
        </c:ser>
        <c:ser>
          <c:idx val="8"/>
          <c:order val="8"/>
          <c:tx>
            <c:strRef>
              <c:f>Dashboard!$K$1:$K$3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Dashboard!$K$4:$K$21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71-44B6-B4CB-87CAF7986E87}"/>
            </c:ext>
          </c:extLst>
        </c:ser>
        <c:ser>
          <c:idx val="9"/>
          <c:order val="9"/>
          <c:tx>
            <c:strRef>
              <c:f>Dashboard!$L$1:$L$3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Dashboard!$L$4:$L$21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71-44B6-B4CB-87CAF7986E87}"/>
            </c:ext>
          </c:extLst>
        </c:ser>
        <c:ser>
          <c:idx val="10"/>
          <c:order val="10"/>
          <c:tx>
            <c:strRef>
              <c:f>Dashboard!$M$1:$M$3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Dashboard!$M$4:$M$21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71-44B6-B4CB-87CAF7986E87}"/>
            </c:ext>
          </c:extLst>
        </c:ser>
        <c:ser>
          <c:idx val="11"/>
          <c:order val="11"/>
          <c:tx>
            <c:strRef>
              <c:f>Dashboard!$N$1:$N$3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Dashboard!$N$4:$N$21</c:f>
            </c:numRef>
          </c:yVal>
          <c:smooth val="0"/>
          <c:extLst>
            <c:ext xmlns:c16="http://schemas.microsoft.com/office/drawing/2014/chart" uri="{C3380CC4-5D6E-409C-BE32-E72D297353CC}">
              <c16:uniqueId val="{0000000B-7871-44B6-B4CB-87CAF7986E87}"/>
            </c:ext>
          </c:extLst>
        </c:ser>
        <c:ser>
          <c:idx val="12"/>
          <c:order val="12"/>
          <c:tx>
            <c:strRef>
              <c:f>Dashboard!$O$1:$O$3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Dashboard!$O$4:$O$21</c:f>
            </c:numRef>
          </c:yVal>
          <c:smooth val="0"/>
          <c:extLst>
            <c:ext xmlns:c16="http://schemas.microsoft.com/office/drawing/2014/chart" uri="{C3380CC4-5D6E-409C-BE32-E72D297353CC}">
              <c16:uniqueId val="{0000000C-7871-44B6-B4CB-87CAF7986E87}"/>
            </c:ext>
          </c:extLst>
        </c:ser>
        <c:ser>
          <c:idx val="13"/>
          <c:order val="13"/>
          <c:tx>
            <c:strRef>
              <c:f>Dashboard!$P$1:$P$3</c:f>
              <c:strCache>
                <c:ptCount val="3"/>
                <c:pt idx="2">
                  <c:v>Active Months 📅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Dashboard!$B$4:$B$21</c:f>
              <c:strCache>
                <c:ptCount val="18"/>
                <c:pt idx="5">
                  <c:v>Completion %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strCache>
            </c:strRef>
          </c:xVal>
          <c:yVal>
            <c:numRef>
              <c:f>Dashboard!$P$4:$P$21</c:f>
            </c:numRef>
          </c:yVal>
          <c:smooth val="0"/>
          <c:extLst>
            <c:ext xmlns:c16="http://schemas.microsoft.com/office/drawing/2014/chart" uri="{C3380CC4-5D6E-409C-BE32-E72D297353CC}">
              <c16:uniqueId val="{0000000D-7871-44B6-B4CB-87CAF7986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801616"/>
        <c:axId val="1681811696"/>
      </c:scatterChart>
      <c:valAx>
        <c:axId val="168180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11696"/>
        <c:crosses val="autoZero"/>
        <c:crossBetween val="midCat"/>
      </c:valAx>
      <c:valAx>
        <c:axId val="16818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0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Dashboard!$B$1:$B$9</c:f>
              <c:strCache>
                <c:ptCount val="9"/>
                <c:pt idx="8">
                  <c:v>Completion %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yVal>
            <c:numRef>
              <c:f>Dashboard!$B$10:$B$24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48-4E41-8AB2-5A4DA5794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173488"/>
        <c:axId val="1681170608"/>
      </c:scatterChart>
      <c:valAx>
        <c:axId val="168117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70608"/>
        <c:crosses val="autoZero"/>
        <c:crossBetween val="midCat"/>
      </c:valAx>
      <c:valAx>
        <c:axId val="16811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7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Dashboard!$A$23:$A$24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Dashboard!$B$23:$B$24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0-4209-9C5F-A47978F95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66EAB4-83FD-46D0-ACE0-22689F8185C5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A3B34-68F1-932C-CD66-ED2B9D93D8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206217</xdr:colOff>
      <xdr:row>8</xdr:row>
      <xdr:rowOff>171864</xdr:rowOff>
    </xdr:from>
    <xdr:ext cx="4957989" cy="2712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8</xdr:col>
      <xdr:colOff>670731</xdr:colOff>
      <xdr:row>8</xdr:row>
      <xdr:rowOff>161236</xdr:rowOff>
    </xdr:from>
    <xdr:to>
      <xdr:col>11</xdr:col>
      <xdr:colOff>1968692</xdr:colOff>
      <xdr:row>24</xdr:row>
      <xdr:rowOff>2034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B0A776-97FE-CB21-8249-14C872A40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1015603</xdr:colOff>
      <xdr:row>27</xdr:row>
      <xdr:rowOff>12009</xdr:rowOff>
    </xdr:from>
    <xdr:to>
      <xdr:col>10</xdr:col>
      <xdr:colOff>443533</xdr:colOff>
      <xdr:row>40</xdr:row>
      <xdr:rowOff>138554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396963-6DEC-42A1-DF83-2FC6BD4EE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47211</xdr:colOff>
      <xdr:row>27</xdr:row>
      <xdr:rowOff>84483</xdr:rowOff>
    </xdr:from>
    <xdr:to>
      <xdr:col>4</xdr:col>
      <xdr:colOff>713961</xdr:colOff>
      <xdr:row>42</xdr:row>
      <xdr:rowOff>113058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F1049E-2735-EF9B-6E9A-69D7BE757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showGridLines="0" zoomScale="92" zoomScaleNormal="100" workbookViewId="0">
      <selection activeCell="B11" sqref="B11"/>
    </sheetView>
  </sheetViews>
  <sheetFormatPr defaultRowHeight="14.4" x14ac:dyDescent="0.3"/>
  <cols>
    <col min="1" max="1" width="17.77734375" customWidth="1"/>
    <col min="2" max="2" width="18" customWidth="1"/>
    <col min="4" max="4" width="12.21875" customWidth="1"/>
    <col min="5" max="5" width="20.109375" customWidth="1"/>
    <col min="9" max="9" width="24.88671875" customWidth="1"/>
    <col min="12" max="12" width="33.77734375" customWidth="1"/>
    <col min="13" max="13" width="0.109375" customWidth="1"/>
    <col min="14" max="14" width="8.88671875" hidden="1" customWidth="1"/>
    <col min="15" max="15" width="8.77734375" hidden="1" customWidth="1"/>
    <col min="16" max="16" width="27.77734375" hidden="1" customWidth="1"/>
  </cols>
  <sheetData>
    <row r="1" spans="1:16" ht="14.4" customHeight="1" x14ac:dyDescent="0.3">
      <c r="A1" s="40" t="s">
        <v>81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40.200000000000003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x14ac:dyDescent="0.3">
      <c r="A3" s="42" t="s">
        <v>0</v>
      </c>
      <c r="B3" s="39"/>
      <c r="C3" s="39"/>
      <c r="D3" s="43" t="s">
        <v>1</v>
      </c>
      <c r="E3" s="39"/>
      <c r="F3" s="39"/>
      <c r="G3" s="41" t="s">
        <v>2</v>
      </c>
      <c r="H3" s="39"/>
      <c r="I3" s="39"/>
      <c r="J3" s="44" t="s">
        <v>3</v>
      </c>
      <c r="K3" s="39"/>
      <c r="L3" s="39"/>
    </row>
    <row r="4" spans="1:16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6" ht="27" customHeigh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6" x14ac:dyDescent="0.3">
      <c r="A6" s="38">
        <f ca="1">ROUND(AVERAGE(B10:B21)/10,2)</f>
        <v>0</v>
      </c>
      <c r="B6" s="39"/>
      <c r="C6" s="39"/>
      <c r="D6" s="38" t="str">
        <f ca="1">INDEX(A10:A21,MATCH(MAX(B10:B21),B10:B21,0))</f>
        <v>January</v>
      </c>
      <c r="E6" s="39"/>
      <c r="F6" s="39"/>
      <c r="G6" s="38" t="str">
        <f ca="1">INDEX(A10:A21,MATCH(MIN(B10:B21),B10:B21,0))</f>
        <v>January</v>
      </c>
      <c r="H6" s="39"/>
      <c r="I6" s="39"/>
      <c r="J6" s="38">
        <f ca="1">COUNTIF(B10:B21,"&gt;0")</f>
        <v>0</v>
      </c>
      <c r="K6" s="39"/>
      <c r="L6" s="39"/>
    </row>
    <row r="7" spans="1:16" x14ac:dyDescent="0.3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6" x14ac:dyDescent="0.3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6" x14ac:dyDescent="0.3">
      <c r="A9" s="1" t="s">
        <v>4</v>
      </c>
      <c r="B9" s="1" t="s">
        <v>5</v>
      </c>
    </row>
    <row r="10" spans="1:16" s="55" customFormat="1" ht="29.4" customHeight="1" x14ac:dyDescent="0.3">
      <c r="A10" s="53" t="s">
        <v>6</v>
      </c>
      <c r="B10" s="54">
        <f ca="1">IFERROR(COUNTIF(January!B5:AF16,TRUE)/(COUNTA(January!A5:A16)*DAY(EOMONTH(DATE(YEAR(TODAY()),1,1),0)))*100,0)</f>
        <v>0</v>
      </c>
    </row>
    <row r="11" spans="1:16" x14ac:dyDescent="0.3">
      <c r="A11" s="53" t="s">
        <v>7</v>
      </c>
      <c r="B11" s="54">
        <f ca="1">IFERROR(COUNTIF(February!B5:AF16,TRUE)/(COUNTA(February!A5:A16)*DAY(EOMONTH(DATE(YEAR(TODAY()),2,1),0)))*100,0)</f>
        <v>0</v>
      </c>
    </row>
    <row r="12" spans="1:16" s="55" customFormat="1" x14ac:dyDescent="0.3">
      <c r="A12" s="53" t="s">
        <v>8</v>
      </c>
      <c r="B12" s="54">
        <f ca="1">IFERROR(COUNTIF(March!B5:AF16,TRUE)/(COUNTA(March!A5:A16)*DAY(EOMONTH(DATE(YEAR(TODAY()),3,1),0)))*100,0)</f>
        <v>0</v>
      </c>
    </row>
    <row r="13" spans="1:16" s="55" customFormat="1" x14ac:dyDescent="0.3">
      <c r="A13" s="53" t="s">
        <v>9</v>
      </c>
      <c r="B13" s="54">
        <f ca="1">IFERROR(COUNTIF(April!B5:AF16,TRUE)/(COUNTA(April!A5:A16)*DAY(EOMONTH(DATE(YEAR(TODAY()),4,1),0)))*100,0)</f>
        <v>0</v>
      </c>
    </row>
    <row r="14" spans="1:16" s="55" customFormat="1" x14ac:dyDescent="0.3">
      <c r="A14" s="53" t="s">
        <v>10</v>
      </c>
      <c r="B14" s="54">
        <f ca="1">IFERROR(COUNTIF(May!B5:AF16,TRUE)/(COUNTA(May!A5:A16)*DAY(EOMONTH(DATE(YEAR(TODAY()),5,1),0)))*100,0)</f>
        <v>0</v>
      </c>
    </row>
    <row r="15" spans="1:16" s="55" customFormat="1" x14ac:dyDescent="0.3">
      <c r="A15" s="53" t="s">
        <v>11</v>
      </c>
      <c r="B15" s="54">
        <f ca="1">IFERROR(COUNTIF(June!B5:AF16,TRUE)/(COUNTA(June!A5:A16)*DAY(EOMONTH(DATE(YEAR(TODAY()),6,1),0)))*100,0)</f>
        <v>0</v>
      </c>
    </row>
    <row r="16" spans="1:16" s="55" customFormat="1" x14ac:dyDescent="0.3">
      <c r="A16" s="53" t="s">
        <v>12</v>
      </c>
      <c r="B16" s="54">
        <f ca="1">IFERROR(COUNTIF(July!B5:AF16,TRUE)/(COUNTA(July!A5:A16)*DAY(EOMONTH(DATE(YEAR(TODAY()),7,1),0)))*100,0)</f>
        <v>0</v>
      </c>
    </row>
    <row r="17" spans="1:2" s="55" customFormat="1" x14ac:dyDescent="0.3">
      <c r="A17" s="53" t="s">
        <v>13</v>
      </c>
      <c r="B17" s="54">
        <f ca="1">IFERROR(COUNTIF(August!B5:AF16,TRUE)/(COUNTA(August!A5:A16)*DAY(EOMONTH(DATE(YEAR(TODAY()),8,1),0)))*100,0)</f>
        <v>0</v>
      </c>
    </row>
    <row r="18" spans="1:2" s="55" customFormat="1" x14ac:dyDescent="0.3">
      <c r="A18" s="53" t="s">
        <v>14</v>
      </c>
      <c r="B18" s="54">
        <f ca="1">IFERROR(COUNTIF(September!B5:AF16,TRUE)/(COUNTA(September!A5:A16)*DAY(EOMONTH(DATE(YEAR(TODAY()),9,1),0)))*100,0)</f>
        <v>0</v>
      </c>
    </row>
    <row r="19" spans="1:2" s="55" customFormat="1" x14ac:dyDescent="0.3">
      <c r="A19" s="53" t="s">
        <v>15</v>
      </c>
      <c r="B19" s="54">
        <f ca="1">IFERROR(COUNTIF(October!B5:AF16,TRUE)/(COUNTA(October!A5:A16)*DAY(EOMONTH(DATE(YEAR(TODAY()),10,1),0)))*100,0)</f>
        <v>0</v>
      </c>
    </row>
    <row r="20" spans="1:2" s="55" customFormat="1" x14ac:dyDescent="0.3">
      <c r="A20" s="53" t="s">
        <v>16</v>
      </c>
      <c r="B20" s="54">
        <f ca="1">IFERROR(COUNTIF(November!B5:AF16,TRUE)/(COUNTA(November!A5:A16)*DAY(EOMONTH(DATE(YEAR(TODAY()),11,1),0)))*100,0)</f>
        <v>0</v>
      </c>
    </row>
    <row r="21" spans="1:2" s="55" customFormat="1" x14ac:dyDescent="0.3">
      <c r="A21" s="53" t="s">
        <v>17</v>
      </c>
      <c r="B21" s="54">
        <f ca="1">IFERROR(COUNTIF(December!B5:AF16,TRUE)/(COUNTA(December!A5:A16)*DAY(EOMONTH(DATE(YEAR(TODAY()),12,1),0)))*100,0)</f>
        <v>0</v>
      </c>
    </row>
    <row r="23" spans="1:2" s="55" customFormat="1" x14ac:dyDescent="0.3">
      <c r="A23" s="56" t="s">
        <v>18</v>
      </c>
      <c r="B23" s="58">
        <f ca="1">AVERAGE(B10:B22)</f>
        <v>0</v>
      </c>
    </row>
    <row r="24" spans="1:2" s="55" customFormat="1" x14ac:dyDescent="0.3">
      <c r="A24" s="57" t="s">
        <v>19</v>
      </c>
      <c r="B24" s="58">
        <f ca="1">100-B23</f>
        <v>100</v>
      </c>
    </row>
  </sheetData>
  <mergeCells count="9">
    <mergeCell ref="A6:C8"/>
    <mergeCell ref="G6:I8"/>
    <mergeCell ref="D6:F8"/>
    <mergeCell ref="J6:L8"/>
    <mergeCell ref="A1:P2"/>
    <mergeCell ref="G3:I5"/>
    <mergeCell ref="A3:C5"/>
    <mergeCell ref="D3:F5"/>
    <mergeCell ref="J3:L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K26" sqref="AK26"/>
    </sheetView>
  </sheetViews>
  <sheetFormatPr defaultRowHeight="14.4" x14ac:dyDescent="0.3"/>
  <cols>
    <col min="1" max="1" width="30" customWidth="1"/>
    <col min="2" max="7" width="4" customWidth="1"/>
    <col min="8" max="8" width="5.33203125" customWidth="1"/>
    <col min="9" max="14" width="4" customWidth="1"/>
    <col min="15" max="15" width="7" customWidth="1"/>
    <col min="16" max="21" width="4" customWidth="1"/>
    <col min="22" max="22" width="9.44140625" customWidth="1"/>
    <col min="23" max="28" width="4" customWidth="1"/>
    <col min="29" max="29" width="7.77734375" customWidth="1"/>
    <col min="30" max="32" width="4" customWidth="1"/>
    <col min="33" max="33" width="0.109375" customWidth="1"/>
  </cols>
  <sheetData>
    <row r="1" spans="1:33" ht="34.200000000000003" customHeight="1" x14ac:dyDescent="0.3">
      <c r="A1" s="45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ht="24.6" customHeight="1" x14ac:dyDescent="0.3">
      <c r="A2" s="51"/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3" spans="1:33" x14ac:dyDescent="0.3">
      <c r="A3" s="52"/>
    </row>
    <row r="4" spans="1:33" ht="19.8" customHeight="1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4" sqref="A4:A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4" sqref="A4:A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3" spans="1:33" ht="16.2" customHeight="1" x14ac:dyDescent="0.3"/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G11" sqref="AG11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79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6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7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8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9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3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31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32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33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34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35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36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37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6"/>
  <sheetViews>
    <sheetView workbookViewId="0">
      <pane xSplit="1" ySplit="4" topLeftCell="B5" activePane="bottomRight" state="frozen"/>
      <selection pane="topRight"/>
      <selection pane="bottomLeft"/>
      <selection pane="bottomRight" activeCell="AD5" sqref="AD5:AF16"/>
    </sheetView>
  </sheetViews>
  <sheetFormatPr defaultRowHeight="14.4" x14ac:dyDescent="0.3"/>
  <cols>
    <col min="1" max="1" width="30" customWidth="1"/>
    <col min="2" max="32" width="4" customWidth="1"/>
  </cols>
  <sheetData>
    <row r="1" spans="1:33" x14ac:dyDescent="0.3">
      <c r="A1" s="45" t="s">
        <v>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 x14ac:dyDescent="0.3">
      <c r="B2" s="47" t="s">
        <v>21</v>
      </c>
      <c r="C2" s="39"/>
      <c r="D2" s="39"/>
      <c r="E2" s="39"/>
      <c r="F2" s="39"/>
      <c r="G2" s="39"/>
      <c r="H2" s="39"/>
      <c r="I2" s="49" t="s">
        <v>22</v>
      </c>
      <c r="J2" s="39"/>
      <c r="K2" s="39"/>
      <c r="L2" s="39"/>
      <c r="M2" s="39"/>
      <c r="N2" s="39"/>
      <c r="O2" s="39"/>
      <c r="P2" s="50" t="s">
        <v>23</v>
      </c>
      <c r="Q2" s="39"/>
      <c r="R2" s="39"/>
      <c r="S2" s="39"/>
      <c r="T2" s="39"/>
      <c r="U2" s="39"/>
      <c r="V2" s="39"/>
      <c r="W2" s="48" t="s">
        <v>24</v>
      </c>
      <c r="X2" s="39"/>
      <c r="Y2" s="39"/>
      <c r="Z2" s="39"/>
      <c r="AA2" s="39"/>
      <c r="AB2" s="39"/>
      <c r="AC2" s="39"/>
      <c r="AD2" s="46" t="s">
        <v>25</v>
      </c>
      <c r="AE2" s="39"/>
      <c r="AF2" s="39"/>
    </row>
    <row r="4" spans="1:33" x14ac:dyDescent="0.3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5" t="s">
        <v>41</v>
      </c>
      <c r="Q4" s="5" t="s">
        <v>42</v>
      </c>
      <c r="R4" s="5" t="s">
        <v>43</v>
      </c>
      <c r="S4" s="5" t="s">
        <v>44</v>
      </c>
      <c r="T4" s="5" t="s">
        <v>45</v>
      </c>
      <c r="U4" s="5" t="s">
        <v>46</v>
      </c>
      <c r="V4" s="5" t="s">
        <v>47</v>
      </c>
      <c r="W4" s="6" t="s">
        <v>48</v>
      </c>
      <c r="X4" s="6" t="s">
        <v>49</v>
      </c>
      <c r="Y4" s="6" t="s">
        <v>50</v>
      </c>
      <c r="Z4" s="6" t="s">
        <v>51</v>
      </c>
      <c r="AA4" s="6" t="s">
        <v>52</v>
      </c>
      <c r="AB4" s="6" t="s">
        <v>53</v>
      </c>
      <c r="AC4" s="6" t="s">
        <v>54</v>
      </c>
      <c r="AD4" s="7" t="s">
        <v>55</v>
      </c>
      <c r="AE4" s="7" t="s">
        <v>56</v>
      </c>
      <c r="AF4" s="7" t="s">
        <v>57</v>
      </c>
    </row>
    <row r="5" spans="1:33" x14ac:dyDescent="0.3">
      <c r="A5" s="24" t="s">
        <v>58</v>
      </c>
      <c r="B5" s="8" t="b">
        <v>0</v>
      </c>
      <c r="C5" s="8" t="b">
        <v>0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9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0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2" t="b">
        <v>0</v>
      </c>
      <c r="AE5" s="12" t="b">
        <v>0</v>
      </c>
      <c r="AF5" s="12" t="b">
        <v>0</v>
      </c>
    </row>
    <row r="6" spans="1:33" x14ac:dyDescent="0.3">
      <c r="A6" s="23" t="s">
        <v>59</v>
      </c>
      <c r="B6" s="8" t="b">
        <v>0</v>
      </c>
      <c r="C6" s="8" t="b">
        <v>0</v>
      </c>
      <c r="D6" s="8" t="b">
        <v>0</v>
      </c>
      <c r="E6" s="8" t="b">
        <v>0</v>
      </c>
      <c r="F6" s="8" t="b">
        <v>0</v>
      </c>
      <c r="G6" s="8" t="b">
        <v>0</v>
      </c>
      <c r="H6" s="8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0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2" t="b">
        <v>0</v>
      </c>
      <c r="AE6" s="12" t="b">
        <v>0</v>
      </c>
      <c r="AF6" s="12" t="b">
        <v>0</v>
      </c>
    </row>
    <row r="7" spans="1:33" x14ac:dyDescent="0.3">
      <c r="A7" s="22" t="s">
        <v>60</v>
      </c>
      <c r="B7" s="8" t="b">
        <v>0</v>
      </c>
      <c r="C7" s="8" t="b">
        <v>0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0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2" t="b">
        <v>0</v>
      </c>
      <c r="AE7" s="12" t="b">
        <v>0</v>
      </c>
      <c r="AF7" s="12" t="b">
        <v>0</v>
      </c>
    </row>
    <row r="8" spans="1:33" x14ac:dyDescent="0.3">
      <c r="A8" s="21" t="s">
        <v>61</v>
      </c>
      <c r="B8" s="8" t="b">
        <v>0</v>
      </c>
      <c r="C8" s="8" t="b">
        <v>0</v>
      </c>
      <c r="D8" s="8" t="b">
        <v>0</v>
      </c>
      <c r="E8" s="8" t="b">
        <v>0</v>
      </c>
      <c r="F8" s="8" t="b">
        <v>0</v>
      </c>
      <c r="G8" s="8" t="b">
        <v>0</v>
      </c>
      <c r="H8" s="8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0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2" t="b">
        <v>0</v>
      </c>
      <c r="AE8" s="12" t="b">
        <v>0</v>
      </c>
      <c r="AF8" s="12" t="b">
        <v>0</v>
      </c>
    </row>
    <row r="9" spans="1:33" x14ac:dyDescent="0.3">
      <c r="A9" s="20" t="s">
        <v>62</v>
      </c>
      <c r="B9" s="8" t="b">
        <v>0</v>
      </c>
      <c r="C9" s="8" t="b">
        <v>0</v>
      </c>
      <c r="D9" s="8" t="b">
        <v>0</v>
      </c>
      <c r="E9" s="8" t="b">
        <v>0</v>
      </c>
      <c r="F9" s="8" t="b">
        <v>0</v>
      </c>
      <c r="G9" s="8" t="b">
        <v>0</v>
      </c>
      <c r="H9" s="8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0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2" t="b">
        <v>0</v>
      </c>
      <c r="AE9" s="12" t="b">
        <v>0</v>
      </c>
      <c r="AF9" s="12" t="b">
        <v>0</v>
      </c>
    </row>
    <row r="10" spans="1:33" x14ac:dyDescent="0.3">
      <c r="A10" s="13" t="s">
        <v>63</v>
      </c>
      <c r="B10" s="8" t="b">
        <v>0</v>
      </c>
      <c r="C10" s="8" t="b">
        <v>0</v>
      </c>
      <c r="D10" s="8" t="b">
        <v>0</v>
      </c>
      <c r="E10" s="8" t="b">
        <v>0</v>
      </c>
      <c r="F10" s="8" t="b">
        <v>0</v>
      </c>
      <c r="G10" s="8" t="b">
        <v>0</v>
      </c>
      <c r="H10" s="8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0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2" t="b">
        <v>0</v>
      </c>
      <c r="AE10" s="12" t="b">
        <v>0</v>
      </c>
      <c r="AF10" s="12" t="b">
        <v>0</v>
      </c>
    </row>
    <row r="11" spans="1:33" x14ac:dyDescent="0.3">
      <c r="A11" s="14" t="s">
        <v>64</v>
      </c>
      <c r="B11" s="8" t="b">
        <v>0</v>
      </c>
      <c r="C11" s="8" t="b">
        <v>0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9" t="b">
        <v>0</v>
      </c>
      <c r="J11" s="9" t="b">
        <v>0</v>
      </c>
      <c r="K11" s="9" t="b">
        <v>0</v>
      </c>
      <c r="L11" s="9" t="b">
        <v>0</v>
      </c>
      <c r="M11" s="9" t="b">
        <v>0</v>
      </c>
      <c r="N11" s="9" t="b">
        <v>0</v>
      </c>
      <c r="O11" s="9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0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2" t="b">
        <v>0</v>
      </c>
      <c r="AE11" s="12" t="b">
        <v>0</v>
      </c>
      <c r="AF11" s="12" t="b">
        <v>0</v>
      </c>
    </row>
    <row r="12" spans="1:33" x14ac:dyDescent="0.3">
      <c r="A12" s="15" t="s">
        <v>65</v>
      </c>
      <c r="B12" s="8" t="b">
        <v>0</v>
      </c>
      <c r="C12" s="8" t="b">
        <v>0</v>
      </c>
      <c r="D12" s="8" t="b">
        <v>0</v>
      </c>
      <c r="E12" s="8" t="b">
        <v>0</v>
      </c>
      <c r="F12" s="8" t="b">
        <v>0</v>
      </c>
      <c r="G12" s="8" t="b">
        <v>0</v>
      </c>
      <c r="H12" s="8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0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2" t="b">
        <v>0</v>
      </c>
      <c r="AE12" s="12" t="b">
        <v>0</v>
      </c>
      <c r="AF12" s="12" t="b">
        <v>0</v>
      </c>
    </row>
    <row r="13" spans="1:33" x14ac:dyDescent="0.3">
      <c r="A13" s="16" t="s">
        <v>66</v>
      </c>
      <c r="B13" s="8" t="b">
        <v>0</v>
      </c>
      <c r="C13" s="8" t="b">
        <v>0</v>
      </c>
      <c r="D13" s="8" t="b">
        <v>0</v>
      </c>
      <c r="E13" s="8" t="b">
        <v>0</v>
      </c>
      <c r="F13" s="8" t="b">
        <v>0</v>
      </c>
      <c r="G13" s="8" t="b">
        <v>0</v>
      </c>
      <c r="H13" s="8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0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2" t="b">
        <v>0</v>
      </c>
      <c r="AE13" s="12" t="b">
        <v>0</v>
      </c>
      <c r="AF13" s="12" t="b">
        <v>0</v>
      </c>
    </row>
    <row r="14" spans="1:33" x14ac:dyDescent="0.3">
      <c r="A14" s="17" t="s">
        <v>67</v>
      </c>
      <c r="B14" s="8" t="b">
        <v>0</v>
      </c>
      <c r="C14" s="8" t="b">
        <v>0</v>
      </c>
      <c r="D14" s="8" t="b">
        <v>0</v>
      </c>
      <c r="E14" s="8" t="b">
        <v>0</v>
      </c>
      <c r="F14" s="8" t="b">
        <v>0</v>
      </c>
      <c r="G14" s="8" t="b">
        <v>0</v>
      </c>
      <c r="H14" s="8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0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2" t="b">
        <v>0</v>
      </c>
      <c r="AE14" s="12" t="b">
        <v>0</v>
      </c>
      <c r="AF14" s="12" t="b">
        <v>0</v>
      </c>
    </row>
    <row r="15" spans="1:33" x14ac:dyDescent="0.3">
      <c r="A15" s="18" t="s">
        <v>68</v>
      </c>
      <c r="B15" s="8" t="b">
        <v>0</v>
      </c>
      <c r="C15" s="8" t="b">
        <v>0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0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2" t="b">
        <v>0</v>
      </c>
      <c r="AE15" s="12" t="b">
        <v>0</v>
      </c>
      <c r="AF15" s="12" t="b">
        <v>0</v>
      </c>
    </row>
    <row r="16" spans="1:33" x14ac:dyDescent="0.3">
      <c r="A16" s="19" t="s">
        <v>69</v>
      </c>
      <c r="B16" s="8" t="b">
        <v>0</v>
      </c>
      <c r="C16" s="8" t="b">
        <v>0</v>
      </c>
      <c r="D16" s="8" t="b">
        <v>0</v>
      </c>
      <c r="E16" s="8" t="b">
        <v>0</v>
      </c>
      <c r="F16" s="8" t="b">
        <v>0</v>
      </c>
      <c r="G16" s="8" t="b">
        <v>0</v>
      </c>
      <c r="H16" s="8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0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2" t="b">
        <v>0</v>
      </c>
      <c r="AE16" s="12" t="b">
        <v>0</v>
      </c>
      <c r="AF16" s="12" t="b">
        <v>0</v>
      </c>
    </row>
  </sheetData>
  <mergeCells count="6">
    <mergeCell ref="A1:AG1"/>
    <mergeCell ref="AD2:AF2"/>
    <mergeCell ref="B2:H2"/>
    <mergeCell ref="W2:AC2"/>
    <mergeCell ref="I2:O2"/>
    <mergeCell ref="P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</vt:vector>
  </HeadingPairs>
  <TitlesOfParts>
    <vt:vector size="14" baseType="lpstr">
      <vt:lpstr>Dashboard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Cyber Soldier</cp:lastModifiedBy>
  <dcterms:created xsi:type="dcterms:W3CDTF">2025-12-31T18:21:24Z</dcterms:created>
  <dcterms:modified xsi:type="dcterms:W3CDTF">2026-01-01T06:19:29Z</dcterms:modified>
</cp:coreProperties>
</file>